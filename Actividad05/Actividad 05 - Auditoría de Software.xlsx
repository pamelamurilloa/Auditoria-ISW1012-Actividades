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pamel\Documents\Universidad\CuatrimestreI2025\Auditoría de Sistemas\Auditoria-ISW1012-Actividades\Actividad05\"/>
    </mc:Choice>
  </mc:AlternateContent>
  <xr:revisionPtr revIDLastSave="0" documentId="13_ncr:1_{D9F8277C-4F94-46DA-B6EF-B2BE2F33B55D}" xr6:coauthVersionLast="47" xr6:coauthVersionMax="47" xr10:uidLastSave="{00000000-0000-0000-0000-000000000000}"/>
  <bookViews>
    <workbookView xWindow="-108" yWindow="-108" windowWidth="23256" windowHeight="12456" activeTab="1" xr2:uid="{C64AEB98-BBFC-4AAC-8921-43B7E9BA8655}"/>
  </bookViews>
  <sheets>
    <sheet name="Instrucciones" sheetId="1" r:id="rId1"/>
    <sheet name="Papel de Trabajo" sheetId="3" r:id="rId2"/>
    <sheet name="Hallazgo"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 l="1"/>
</calcChain>
</file>

<file path=xl/sharedStrings.xml><?xml version="1.0" encoding="utf-8"?>
<sst xmlns="http://schemas.openxmlformats.org/spreadsheetml/2006/main" count="138" uniqueCount="87">
  <si>
    <t>#</t>
  </si>
  <si>
    <t>Instrucción</t>
  </si>
  <si>
    <t>Puntos</t>
  </si>
  <si>
    <t>Respuesta</t>
  </si>
  <si>
    <t>PAPEL DE TRABAJO 1</t>
  </si>
  <si>
    <t>Identificador del papel</t>
  </si>
  <si>
    <t>Revisión</t>
  </si>
  <si>
    <t>Fecha</t>
  </si>
  <si>
    <t>Responsable</t>
  </si>
  <si>
    <t>Tipo de Observación</t>
  </si>
  <si>
    <t>Alcance</t>
  </si>
  <si>
    <t>Propósito</t>
  </si>
  <si>
    <t>Metodología</t>
  </si>
  <si>
    <t>Resultado pruebas</t>
  </si>
  <si>
    <t>Referencias</t>
  </si>
  <si>
    <t>Identificador de hallazgo</t>
  </si>
  <si>
    <t>Condición</t>
  </si>
  <si>
    <t>&lt;Escriba su respuesta&gt;</t>
  </si>
  <si>
    <t>Causa</t>
  </si>
  <si>
    <t>Efecto</t>
  </si>
  <si>
    <t>Criterio</t>
  </si>
  <si>
    <t>Recomendación</t>
  </si>
  <si>
    <t>Identifique las posibles debilidades que se puedan presentar en el proceso de gestión de licencias de software, y documente todo el proceso de revisión en un papel de trabajo</t>
  </si>
  <si>
    <t>Papel de Trabajo</t>
  </si>
  <si>
    <t>Hallazgo</t>
  </si>
  <si>
    <t>Por cada debilidad identificada en los papeles de trabajo, establezca los hallazgos y documentelos</t>
  </si>
  <si>
    <t>De acuerdo con la información de gestión de licencias de software que se encuentra en la base de datos en el esquema "actividad05":
 - Tabla clase: clasificación de software.
 - Tabla software: lista de diferentes software y sus caracteristicas.
 - Tabla licencia: registro de licencias de software por maquina.</t>
  </si>
  <si>
    <t>PAPEL DE TRABAJO 2</t>
  </si>
  <si>
    <t>PAPEL DE TRABAJO 3</t>
  </si>
  <si>
    <t>PT-001</t>
  </si>
  <si>
    <t>Revisión de la instalación de software según las licencias adquiridas.</t>
  </si>
  <si>
    <t>Validación de la instalación de todas las licencias adquiridas para cada software en las tablas "software" y "licencia" del esquema "actividad05" de la base de datos "ISW1012_2025"</t>
  </si>
  <si>
    <t>Verificar que la cantidad de licencias adquiridas registradas en la tabla "software" corresponda a una cantidad de registros de esas mismas licencias hacia máquinas distintas en la tabla "licencia".</t>
  </si>
  <si>
    <t>Riesgos</t>
  </si>
  <si>
    <t>Tener licencias adquiridas que no están siendo utilizadas.</t>
  </si>
  <si>
    <t>Infrigir las políticas del software adquirido al tener máquinas con software del que no se ha adquirido licencia.</t>
  </si>
  <si>
    <t>1. Identificación de la sección de las políticas y normativas del uso de software que se puede estar infringiendo.</t>
  </si>
  <si>
    <t>3. Análisis de la información obtenida a través de la ejecución de la consulta.</t>
  </si>
  <si>
    <t>4. Documentación de las inconsistencias encontradas y propuesta de recomendaciones.</t>
  </si>
  <si>
    <t>PT-002</t>
  </si>
  <si>
    <t>Revisión del tratamiento de las licencias obsoletas.</t>
  </si>
  <si>
    <t>PT-003</t>
  </si>
  <si>
    <t>Validación del uso de licencias de software no obsoleto registrado en la tabla "software" instaladas en las máquinas registradas en la tabla "licencia" del esquema "actividad05" de la base de datos "ISW1012_2025".</t>
  </si>
  <si>
    <t>Verificar que ninguna de las licencias actualmente utilizadas sean para software calificado como obsoleto.</t>
  </si>
  <si>
    <t>Desperdicio de licencias al utilizar servicios no utilizables.</t>
  </si>
  <si>
    <t>Revisión de la fecha de salida e instalación de las licencias.</t>
  </si>
  <si>
    <t>Verificar que no hayan ocurrido fallos de registro ya sea del software o en referencia a la fecha de instalación en las máquinas.</t>
  </si>
  <si>
    <t>Carencia de solución de errores en el software utilizado.</t>
  </si>
  <si>
    <t>Existencia de errores en la documentación histórica del sistema.</t>
  </si>
  <si>
    <t>Problemas en el mantenimiento y actualización de los equipos.</t>
  </si>
  <si>
    <t>2. Creación de una consulta SQL (Script.003)  en donde se compruebe que la fecha obtenida de la columna "fecha_primera_install" de la tabla "licencia" corresponda a una posterior a aquella encontrada en la columna "fecha_salida" de la tabla "software". Seleccionar sólo aquellas en donde la fecha de primera instalación sea más antigua a la fecha de salida.</t>
  </si>
  <si>
    <t>2. Creación de una consulta SQL (Script.002) en donde se cuenten la cantidad de máquinas distintas que se encuentren con licencia desde la tabla "licencia" y compararlo con el número de la columna "licencias adquiridas" de la tabla "software", validando así que la cantidad coincida. Seleccionar aquellos registros en donde el número de licencias adquiridas y el número de máquinas en donde se ha instalado no corresponda.</t>
  </si>
  <si>
    <t>Negativa</t>
  </si>
  <si>
    <t>2. Creación de una consulta SQL (Script.001)  en donde se obtengan todos los software calificados con un Si en la columna "obsoleto" de la tabla "software" y se unan con la tabla "licencia" que contiene todas las licencias utilizadas actualmente para comprobar que no aparezcan máquinas con dicho software. Seleccionar sólo aquellos registros en donde el software obsoleto aparezca en una máquina.</t>
  </si>
  <si>
    <t>Referencia001</t>
  </si>
  <si>
    <t>#01</t>
  </si>
  <si>
    <r>
      <t xml:space="preserve">2- Consulta SQL utilizada:
</t>
    </r>
    <r>
      <rPr>
        <sz val="11"/>
        <color theme="1"/>
        <rFont val="Calibri"/>
        <family val="2"/>
        <scheme val="minor"/>
      </rPr>
      <t>WITH software_obsoleto_en_maquina AS (
    SELECT
        s.id AS software_id,
        s.nombre AS nombre_software,
        s.obsoleto,
        l.id AS licencia_id,
        l.maquina,
        l.fecha_primera_install
    FROM
        actividad05.software s
    INNER JOIN
        actividad05.licencia l ON s.id = l.software_id
    WHERE
        s.obsoleto = 'Si'
)
SELECT
	current_database() AS base_de_datos,
	'actividad05' AS schema,
    soem.nombre_software AS software,
    soem.maquina,
    soem.licencia_id,
	soem.obsoleto AS es_obsoleto,
    NOW() AS fecha_de_consulta
FROM
    software_obsoleto_en_maquina soem;</t>
    </r>
  </si>
  <si>
    <r>
      <rPr>
        <b/>
        <sz val="11"/>
        <color theme="1"/>
        <rFont val="Calibri"/>
        <family val="2"/>
        <scheme val="minor"/>
      </rPr>
      <t>3 - Análisis de Información:</t>
    </r>
    <r>
      <rPr>
        <sz val="11"/>
        <color theme="1"/>
        <rFont val="Calibri"/>
        <family val="2"/>
        <scheme val="minor"/>
      </rPr>
      <t xml:space="preserve">
Se obtiene un resultado en el que dos de las máquinas a las que se les tiene algún tipo de licencia cuentan con un software calificado como obsoleto. Específicamente las máquinas PC-001 y VM-005 que cuentan con Windows 7 y Office 2003 respectivamente.
</t>
    </r>
    <r>
      <rPr>
        <b/>
        <sz val="11"/>
        <color theme="1"/>
        <rFont val="Calibri"/>
        <family val="2"/>
        <scheme val="minor"/>
      </rPr>
      <t>Se adjunta resultado obtenido Referencia 001</t>
    </r>
  </si>
  <si>
    <r>
      <t xml:space="preserve">4 -  Documentación de inconsistencias:
</t>
    </r>
    <r>
      <rPr>
        <sz val="11"/>
        <color theme="1"/>
        <rFont val="Calibri"/>
        <family val="2"/>
        <scheme val="minor"/>
      </rPr>
      <t>Se detectan dos inconsistencias en el estado del software utilizado por las máquinas registradas, donde 2 de 20 máquinas, representando el 10% de los equipos, contienen alguna licencia de un software calificado como obsoleto. Esto infringe el procesamiento natural del ciclo de vida del software y abre la empresa a ataques cibernéticos. Se recomienda la constante actualización del software utilizado por la empresa para evitar brechas de seguridad y otorgar mayor facilidad en el mantenimiento.</t>
    </r>
  </si>
  <si>
    <r>
      <rPr>
        <b/>
        <sz val="11"/>
        <color theme="1"/>
        <rFont val="Calibri"/>
        <family val="2"/>
        <scheme val="minor"/>
      </rPr>
      <t>1- Identificación de las políticas:</t>
    </r>
    <r>
      <rPr>
        <sz val="11"/>
        <color theme="1"/>
        <rFont val="Calibri"/>
        <family val="2"/>
        <scheme val="minor"/>
      </rPr>
      <t xml:space="preserve">
El documento de </t>
    </r>
    <r>
      <rPr>
        <i/>
        <sz val="11"/>
        <color theme="1"/>
        <rFont val="Calibri"/>
        <family val="2"/>
        <scheme val="minor"/>
      </rPr>
      <t>ISO 27002:2022</t>
    </r>
    <r>
      <rPr>
        <sz val="11"/>
        <color theme="1"/>
        <rFont val="Calibri"/>
        <family val="2"/>
        <scheme val="minor"/>
      </rPr>
      <t xml:space="preserve"> en la sección de </t>
    </r>
    <r>
      <rPr>
        <i/>
        <sz val="11"/>
        <color theme="1"/>
        <rFont val="Calibri"/>
        <family val="2"/>
        <scheme val="minor"/>
      </rPr>
      <t>Control 8.19 – Installation of Software on Operational Systems</t>
    </r>
    <r>
      <rPr>
        <sz val="11"/>
        <color theme="1"/>
        <rFont val="Calibri"/>
        <family val="2"/>
        <scheme val="minor"/>
      </rPr>
      <t xml:space="preserve"> se menciona que  las empresas deben de evitar el uso de software abierto a vulnerabilidades y que deberían de mantener sus librerías y herramientas actualizadas. 
Se procede a realizar una consulta para verificar las licencias utilizadas en software obsoleto,</t>
    </r>
  </si>
  <si>
    <r>
      <t xml:space="preserve">2- Consulta SQL utilizada:
</t>
    </r>
    <r>
      <rPr>
        <sz val="11"/>
        <color theme="1"/>
        <rFont val="Calibri"/>
        <family val="2"/>
        <scheme val="minor"/>
      </rPr>
      <t>WITH conteo_maquinas_por_software AS (
    SELECT
        l.software_id,
        COUNT(DISTINCT l.maquina) AS numero_maquinas_distintas
    FROM
        actividad05.licencia l
    GROUP BY
        l.software_id
)
SELECT
	current_database() AS base_de_datos,
	'actividad05' AS schema,
    s.id AS software_id,
    s.nombre AS nombre_software,
    s."licencias adquiridas" AS licencias_segun_registro,
    COALESCE(cmp.numero_maquinas_distintas, 0) AS maquinas_reales_con_licencia,
    'Discrepancia encontrada' AS estado_validacion,
    NOW() AS fecha_de_consulta
FROM
    actividad05.software s
LEFT JOIN
    conteo_maquinas_por_software cmp ON s.id = cmp.software_id
WHERE
    s.requiere_licencia = 'Si' 
    AND s."licencias adquiridas" != COALESCE(cmp.numero_maquinas_distintas, 0);</t>
    </r>
  </si>
  <si>
    <t>Referencias 002</t>
  </si>
  <si>
    <r>
      <rPr>
        <b/>
        <sz val="11"/>
        <color theme="1"/>
        <rFont val="Calibri"/>
        <family val="2"/>
        <scheme val="minor"/>
      </rPr>
      <t>1- Identificación de las políticas:</t>
    </r>
    <r>
      <rPr>
        <sz val="11"/>
        <color theme="1"/>
        <rFont val="Calibri"/>
        <family val="2"/>
        <scheme val="minor"/>
      </rPr>
      <t xml:space="preserve">
En el documento ISO 27001:2022, Anexo A 5.32 – Intellectual Property Rights, se especifica que las organizaciones sólo deben de utilizar un software que requiere licencia si es que esta fue adquirida por medios legales, ya sea con la compra de esta, con una subscripción o a través de terceros.
Se procede a realizar una consulta para verificar la cantidad de licencias instaladas,</t>
    </r>
  </si>
  <si>
    <r>
      <rPr>
        <b/>
        <sz val="11"/>
        <color theme="1"/>
        <rFont val="Calibri"/>
        <family val="2"/>
        <scheme val="minor"/>
      </rPr>
      <t>3 - Análisis de Información:</t>
    </r>
    <r>
      <rPr>
        <sz val="11"/>
        <color theme="1"/>
        <rFont val="Calibri"/>
        <family val="2"/>
        <scheme val="minor"/>
      </rPr>
      <t xml:space="preserve">
Se detecta que de 9 software utilizados por la empresa, 8 contienen una cantidad de licencias que no coincide con las instaladas en las máquinas reales, siendo un problema principalmente en el caso del Windows 10, de identificación 2, pues se encuentran más máquinas de las legalmente permitidas con una licencia de este sistema operativo.
</t>
    </r>
    <r>
      <rPr>
        <b/>
        <sz val="11"/>
        <color theme="1"/>
        <rFont val="Calibri"/>
        <family val="2"/>
        <scheme val="minor"/>
      </rPr>
      <t>Se adjunta resultado obtenido Referencia 02</t>
    </r>
  </si>
  <si>
    <r>
      <t xml:space="preserve">4 -  Documentación de inconsistencias:
</t>
    </r>
    <r>
      <rPr>
        <sz val="11"/>
        <color theme="1"/>
        <rFont val="Calibri"/>
        <family val="2"/>
        <scheme val="minor"/>
      </rPr>
      <t>Se detectan 8 inconsistencias en cuanto a los números de licencias compradas según la tabla de "software" y el número de máquinas reales con ese software registradas en la tabla "licencia". En 7 de estas ocasiones el número de máquinas con el software es menor a las adquiridas, pero para el caso de Windows 10 se tiene que 8 máquinas contienen una licencia no adquirida, esto viola la sección de "Uso de Software con Licencia", en ISO 27001:2022, Anexo A 5.32 – Intellectual Property Rights e infringe la moral de trabajo.</t>
    </r>
  </si>
  <si>
    <t xml:space="preserve">Pamela Jesús Murillo Anchía-Yeustin David Lewis Rosales </t>
  </si>
  <si>
    <t>Validación de la coherencia de las fechas registradas para la primera instalación (fecha_primera_install) en la tabla "licencia" con respecto a la fecha de salida (fecha_salida) en la tabla "software", dentro del esquema "actividad05" de la base de datos "ISW1012_2025".</t>
  </si>
  <si>
    <r>
      <rPr>
        <b/>
        <sz val="11"/>
        <color theme="1"/>
        <rFont val="Calibri"/>
        <family val="2"/>
        <scheme val="minor"/>
      </rPr>
      <t>1-Ejecución.</t>
    </r>
    <r>
      <rPr>
        <sz val="11"/>
        <color theme="1"/>
        <rFont val="Calibri"/>
        <family val="2"/>
        <scheme val="minor"/>
      </rPr>
      <t xml:space="preserve">
Se ejecutó la consulta SQL Script.003, cuyo objetivo es identificar registros en los que la fecha de primera instalación de una licencia (fecha_primera_install) ocurra antes de la fecha oficial de salida del software correspondiente (fecha_salida).</t>
    </r>
  </si>
  <si>
    <r>
      <rPr>
        <b/>
        <sz val="11"/>
        <color theme="1"/>
        <rFont val="Calibri"/>
        <family val="2"/>
        <scheme val="minor"/>
      </rPr>
      <t>3-Análisis de la información obtenida.</t>
    </r>
    <r>
      <rPr>
        <sz val="11"/>
        <color theme="1"/>
        <rFont val="Calibri"/>
        <family val="2"/>
        <scheme val="minor"/>
      </rPr>
      <t xml:space="preserve">
La consulta devolvió 4 registros inconsistentes, todos asociados con el software Windows 10 (software_id = 2), cuya fecha de salida está registrada como 15 de julio de 2015. Sin embargo, las fechas de instalación para estas licencias son anteriores, algunas incluso por varios años. 
Maquinas identificadas: </t>
    </r>
    <r>
      <rPr>
        <b/>
        <sz val="11"/>
        <color theme="1"/>
        <rFont val="Calibri"/>
        <family val="2"/>
        <scheme val="minor"/>
      </rPr>
      <t xml:space="preserve">PC-006, PC-008, PC-009, PC-010
</t>
    </r>
    <r>
      <rPr>
        <sz val="11"/>
        <color theme="1"/>
        <rFont val="Calibri"/>
        <family val="2"/>
        <scheme val="minor"/>
      </rPr>
      <t>-Este patrón revela un problema específico de inconsistencia cronológica, indicando que:
-Se registraron instalaciones de Windows 10 antes de que oficialmente existiera.
-Las fechas de instalación oscilan entre 2010 y 2013, lo que representa un desfase de hasta 5 años respecto a la fecha oficial.</t>
    </r>
  </si>
  <si>
    <r>
      <rPr>
        <b/>
        <sz val="11"/>
        <color theme="1"/>
        <rFont val="Calibri"/>
        <family val="2"/>
        <scheme val="minor"/>
      </rPr>
      <t>4-Documentación de las inconsistencias encontradas.</t>
    </r>
    <r>
      <rPr>
        <sz val="11"/>
        <color theme="1"/>
        <rFont val="Calibri"/>
        <family val="2"/>
        <scheme val="minor"/>
      </rPr>
      <t xml:space="preserve">
Ver en referencia 003.
Observaciones clave:
-Ninguna de estas fechas puede ser cronológicamente correcta en un entorno realista.
-Windows 10 no existía públicamente ni en versión de prueba en ninguna de esas fechas.
-Esto sugiere un problema de origen en el sistema de registro, que podría ser técnico (bug del sistema), humano (error de digitación), o documental (uso incorrecto de referencias anteriores, como versiones beta o sistemas anteriores mal identificados).</t>
    </r>
  </si>
  <si>
    <r>
      <rPr>
        <b/>
        <sz val="11"/>
        <color theme="1"/>
        <rFont val="Calibri"/>
        <family val="2"/>
        <scheme val="minor"/>
      </rPr>
      <t>5-Posibles causas.</t>
    </r>
    <r>
      <rPr>
        <sz val="11"/>
        <color theme="1"/>
        <rFont val="Calibri"/>
        <family val="2"/>
        <scheme val="minor"/>
      </rPr>
      <t xml:space="preserve">
-Errores en la captura de datos: Fechas ingresadas manualmente de forma incorrecta por desconocimiento o falta de verificación.
-Fallos en procesos de migración de datos históricos: Posiblemente al migrar información desde otros sistemas.
-Malas prácticas en el etiquetado del software instalado: Tal vez las instalaciones correspondían a otra versión de Windows y fueron etiquetadas incorrectamente como Windows 10.
-Falta de validaciones en la base de datos: Actualmente no hay restricción que impida registrar una fecha anterior a la de salida del software.</t>
    </r>
  </si>
  <si>
    <r>
      <rPr>
        <b/>
        <sz val="11"/>
        <color theme="1"/>
        <rFont val="Calibri"/>
        <family val="2"/>
        <scheme val="minor"/>
      </rPr>
      <t xml:space="preserve">6-Propuestas de Recomendaciones.
</t>
    </r>
    <r>
      <rPr>
        <sz val="11"/>
        <color theme="1"/>
        <rFont val="Calibri"/>
        <family val="2"/>
        <scheme val="minor"/>
      </rPr>
      <t xml:space="preserve">-Revisión manual de los registros afectados, en conjunto con historial de compras, actas de instalación o registros de TI.
-Corrección directa en la base de datos si se encuentra evidencia del error (actualizar fechas o cambiar el software asociado si corresponde).
-Reporte a control interno para su seguimiento y documentación formal del incidente.
</t>
    </r>
  </si>
  <si>
    <t>Referencia 003</t>
  </si>
  <si>
    <t>5. Identificar las posibles causas que han llevado a la situación actual.</t>
  </si>
  <si>
    <r>
      <rPr>
        <b/>
        <sz val="11"/>
        <color theme="1"/>
        <rFont val="Calibri"/>
        <family val="2"/>
        <scheme val="minor"/>
      </rPr>
      <t>2- Consulta SQL utilizada:</t>
    </r>
    <r>
      <rPr>
        <sz val="11"/>
        <color theme="1"/>
        <rFont val="Calibri"/>
        <family val="2"/>
        <scheme val="minor"/>
      </rPr>
      <t xml:space="preserve">
SELECT 
    l.id AS licencia_id,
    l.maquina,
    l.fecha_primera_install,
    s.id AS software_id,
    s.nombre AS nombre_software,
    s.fecha_salida
FROM 
    actividad05.licencia l
JOIN 
    actividad05.software s ON l.software_id = s.id
WHERE 
    l.fecha_primera_install &lt; s.fecha_salida;</t>
    </r>
  </si>
  <si>
    <r>
      <rPr>
        <b/>
        <sz val="11"/>
        <color theme="1"/>
        <rFont val="Calibri"/>
        <family val="2"/>
        <scheme val="minor"/>
      </rPr>
      <t>Las causas más probables de esta inconsistencia son:</t>
    </r>
    <r>
      <rPr>
        <sz val="11"/>
        <color theme="1"/>
        <rFont val="Calibri"/>
        <family val="2"/>
        <scheme val="minor"/>
      </rPr>
      <t xml:space="preserve">
1-Errores manuales en la digitación de fechas durante el ingreso de datos.
2-Falta de controles o validaciones en el sistema de registro que permitan asegurar la coherencia cronológica entre la instalación y la disponibilidad del software.
3-Mala identificación del software instalado, posiblemente etiquetando como “Windows 10” lo que podría haber sido una versión anterior, como Windows 7 u 8.
4-Migración inadecuada de datos históricos, en la que se trasladaron fechas incorrectas desde sistemas anteriores sin verificación.</t>
    </r>
  </si>
  <si>
    <t>1-Pérdida de confiabilidad de los registros históricos del sistema, lo que afecta auditorías, inventarios y controles de cumplimiento.
2-Riesgos legales y de licenciamiento, ya que podrían existir discrepancias entre la documentación interna y los contratos de adquisición/licencia de software.
3-Dificultades en la gestión de mantenimiento de equipos, al basarse en información inexacta sobre la vida útil del software.
4-Potencial infracción de políticas institucionales sobre uso y control del software.</t>
  </si>
  <si>
    <r>
      <t xml:space="preserve">De acuerdo con las normativas institucionales de gestión y control de software, así como las buenas prácticas de </t>
    </r>
    <r>
      <rPr>
        <b/>
        <sz val="11"/>
        <color theme="1"/>
        <rFont val="Calibri"/>
        <family val="2"/>
        <scheme val="minor"/>
      </rPr>
      <t>auditoría informática</t>
    </r>
    <r>
      <rPr>
        <sz val="11"/>
        <color theme="1"/>
        <rFont val="Calibri"/>
        <family val="2"/>
        <scheme val="minor"/>
      </rPr>
      <t>.
1-Toda instalación de software debe estar debidamente documentada y coherente en fechas con respecto a la disponibilidad real del producto.
2-La institución debe garantizar el registro preciso y cronológicamente lógico de las licencias de software.
3-Se deben implementar mecanismos de validación automática que prevengan el ingreso de datos incompatibles.</t>
    </r>
  </si>
  <si>
    <t>1-Realizar una revisión manual y exhaustiva de los registros de licencias afectados, verificando contra documentación física o digital (facturas, actas de instalación, reportes de soporte técnico).
2-Corregir los registros erróneos en la base de datos, ajustando fechas o modificando el software registrado si se trataba de una versión diferente.
3-Implementar validaciones en el sistema que impidan registrar fechas de instalación anteriores a la fecha de salida del software.
4-Reforzar la capacitación del personal administrativo y técnico en el manejo y documentación de licencias de software.
5-Incluir este tipo de validaciones en los controles regulares de auditoría interna y revisar si hay otras inconsistencias en el resto de la base de datos.</t>
  </si>
  <si>
    <t>#02</t>
  </si>
  <si>
    <t>#03</t>
  </si>
  <si>
    <r>
      <t>Se identificaron cuatro registros en la tabla</t>
    </r>
    <r>
      <rPr>
        <b/>
        <sz val="11"/>
        <color theme="1"/>
        <rFont val="Calibri"/>
        <family val="2"/>
        <scheme val="minor"/>
      </rPr>
      <t xml:space="preserve"> licencia</t>
    </r>
    <r>
      <rPr>
        <sz val="11"/>
        <color theme="1"/>
        <rFont val="Calibri"/>
        <family val="2"/>
        <scheme val="minor"/>
      </rPr>
      <t xml:space="preserve"> donde la fecha de primera instalación del software (fecha_primera_install) es anterior a la fecha oficial de salida del software (fecha_salida) registrada en la tabla </t>
    </r>
    <r>
      <rPr>
        <b/>
        <sz val="11"/>
        <color theme="1"/>
        <rFont val="Calibri"/>
        <family val="2"/>
        <scheme val="minor"/>
      </rPr>
      <t xml:space="preserve">software </t>
    </r>
    <r>
      <rPr>
        <sz val="11"/>
        <color theme="1"/>
        <rFont val="Calibri"/>
        <family val="2"/>
        <scheme val="minor"/>
      </rPr>
      <t xml:space="preserve">del schema </t>
    </r>
    <r>
      <rPr>
        <b/>
        <sz val="11"/>
        <color theme="1"/>
        <rFont val="Calibri"/>
        <family val="2"/>
        <scheme val="minor"/>
      </rPr>
      <t>actividad05</t>
    </r>
    <r>
      <rPr>
        <sz val="11"/>
        <color theme="1"/>
        <rFont val="Calibri"/>
        <family val="2"/>
        <scheme val="minor"/>
      </rPr>
      <t xml:space="preserve"> de la</t>
    </r>
    <r>
      <rPr>
        <b/>
        <sz val="11"/>
        <color theme="1"/>
        <rFont val="Calibri"/>
        <family val="2"/>
        <scheme val="minor"/>
      </rPr>
      <t xml:space="preserve"> base de datos ISW1012_2025</t>
    </r>
    <r>
      <rPr>
        <sz val="11"/>
        <color theme="1"/>
        <rFont val="Calibri"/>
        <family val="2"/>
        <scheme val="minor"/>
      </rPr>
      <t>.
Estos registros corresponden al software Windows 10, cuya fecha de salida oficial es el 15 de julio de 2015, mientras que las fechas de instalación registradas van desde el 20 de marzo de 2010 hasta el 11 de mayo de 2013.
Este desfase representa una inconsistencia temporal que no puede justificarse técnicamente, ya que el software no estaba disponible en esas fechas.</t>
    </r>
  </si>
  <si>
    <r>
      <t xml:space="preserve">Se identificaron 2 registros de la tabla </t>
    </r>
    <r>
      <rPr>
        <b/>
        <sz val="11"/>
        <color theme="1"/>
        <rFont val="Calibri"/>
        <family val="2"/>
        <scheme val="minor"/>
      </rPr>
      <t>licencia</t>
    </r>
    <r>
      <rPr>
        <sz val="11"/>
        <color theme="1"/>
        <rFont val="Calibri"/>
        <family val="2"/>
        <scheme val="minor"/>
      </rPr>
      <t xml:space="preserve"> en donde el software instalado ha sido registrado como obsoleto en la tabla </t>
    </r>
    <r>
      <rPr>
        <b/>
        <sz val="11"/>
        <color theme="1"/>
        <rFont val="Calibri"/>
        <family val="2"/>
        <scheme val="minor"/>
      </rPr>
      <t>software</t>
    </r>
    <r>
      <rPr>
        <sz val="11"/>
        <color theme="1"/>
        <rFont val="Calibri"/>
        <family val="2"/>
        <scheme val="minor"/>
      </rPr>
      <t xml:space="preserve">. Ambas tablas del schema </t>
    </r>
    <r>
      <rPr>
        <b/>
        <sz val="11"/>
        <color theme="1"/>
        <rFont val="Calibri"/>
        <family val="2"/>
        <scheme val="minor"/>
      </rPr>
      <t>actividad05</t>
    </r>
    <r>
      <rPr>
        <sz val="11"/>
        <color theme="1"/>
        <rFont val="Calibri"/>
        <family val="2"/>
        <scheme val="minor"/>
      </rPr>
      <t xml:space="preserve"> de la base de datos </t>
    </r>
    <r>
      <rPr>
        <b/>
        <sz val="11"/>
        <color theme="1"/>
        <rFont val="Calibri"/>
        <family val="2"/>
        <scheme val="minor"/>
      </rPr>
      <t>ISW1012_2025</t>
    </r>
    <r>
      <rPr>
        <sz val="11"/>
        <color theme="1"/>
        <rFont val="Calibri"/>
        <family val="2"/>
        <scheme val="minor"/>
      </rPr>
      <t>.
Estos registros corresponden al sistema operativo Windows 7 y al programa Office 2003, instalados en las máquinas PC-0011 y VM-005 respectivamente.</t>
    </r>
  </si>
  <si>
    <r>
      <rPr>
        <b/>
        <sz val="11"/>
        <color theme="1"/>
        <rFont val="Calibri"/>
        <family val="2"/>
        <scheme val="minor"/>
      </rPr>
      <t>Las causas más probables de esta inconsistencia son:</t>
    </r>
    <r>
      <rPr>
        <sz val="11"/>
        <color theme="1"/>
        <rFont val="Calibri"/>
        <family val="2"/>
        <scheme val="minor"/>
      </rPr>
      <t xml:space="preserve">
1-Falta de actualización de la base de datos en cuanto al estado real de las máquinas.
2-Carencia de controles para verificar que todas las máquinas tengan un equipo de software actualizado a lo más recientemente adquirido.
3-Desinformación en cuanto a los peligros de mantener instalado y en uso un software obsoleto.</t>
    </r>
  </si>
  <si>
    <t>1-Generación de posibles brechas en la seguridad del sistema, esto debido a que el software deprecado no recibe actualizaciones que resuelvan problemas en la seguridad ya conocidos.
2-Ineficiencia en cuanto uso del software, pues al no actualizar las versiones utilizadas en los equipos se pierden de funciones y mejoras del software que se hayan hecho en los últimos años.
3-Fallos en el software sin resolver, pues de tener alguna situación en donde ocurra un problema con el software utilizado, la compañía no va a poder obtener ayuda de ingenieros especializados.</t>
  </si>
  <si>
    <t xml:space="preserve"> ISO 27002:2022 en la sección de Control 8.19 – Installation of Software on Operational Systems menciona que las empresas deberían de mantener sus herramientas, librerías y software en general actualizadas.</t>
  </si>
  <si>
    <t>1-Verificar el software que está instalado en las máquinas PC-0011 y VM-005.
1.1-A partir de esto, actualizar la base de datos si es esta la que está desactualizada.
1.2-De manera alternativa, comprar (de ser necesario) e instalar nuevas versiones de la herramienta en las máquinas requeridas.
2-Revisar el resto de máquinas de la empresa y verificar que el software instalado coincida con aquel registrado en la base de datos, así como actualizar las máquinas con las versiones seguras más nuevas del software utilizado.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</si>
</sst>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6"/>
      <name val="Calibri"/>
      <family val="2"/>
      <scheme val="minor"/>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4.9989318521683403E-2"/>
        <bgColor indexed="64"/>
      </patternFill>
    </fill>
  </fills>
  <borders count="20">
    <border>
      <left/>
      <right/>
      <top/>
      <bottom/>
      <diagonal/>
    </border>
    <border>
      <left/>
      <right/>
      <top style="hair">
        <color auto="1"/>
      </top>
      <bottom style="hair">
        <color auto="1"/>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style="hair">
        <color auto="1"/>
      </top>
      <bottom style="hair">
        <color auto="1"/>
      </bottom>
      <diagonal/>
    </border>
    <border>
      <left/>
      <right style="thin">
        <color indexed="64"/>
      </right>
      <top style="hair">
        <color auto="1"/>
      </top>
      <bottom style="hair">
        <color auto="1"/>
      </bottom>
      <diagonal/>
    </border>
    <border>
      <left style="thin">
        <color indexed="64"/>
      </left>
      <right/>
      <top style="hair">
        <color auto="1"/>
      </top>
      <bottom style="thin">
        <color indexed="64"/>
      </bottom>
      <diagonal/>
    </border>
    <border>
      <left/>
      <right style="thin">
        <color indexed="64"/>
      </right>
      <top style="hair">
        <color auto="1"/>
      </top>
      <bottom style="thin">
        <color indexed="64"/>
      </bottom>
      <diagonal/>
    </border>
    <border>
      <left/>
      <right/>
      <top style="medium">
        <color auto="1"/>
      </top>
      <bottom style="medium">
        <color auto="1"/>
      </bottom>
      <diagonal/>
    </border>
    <border>
      <left/>
      <right/>
      <top/>
      <bottom style="dotted">
        <color auto="1"/>
      </bottom>
      <diagonal/>
    </border>
    <border>
      <left/>
      <right/>
      <top style="dotted">
        <color auto="1"/>
      </top>
      <bottom style="dotted">
        <color auto="1"/>
      </bottom>
      <diagonal/>
    </border>
    <border>
      <left/>
      <right/>
      <top style="dotted">
        <color auto="1"/>
      </top>
      <bottom style="medium">
        <color indexed="64"/>
      </bottom>
      <diagonal/>
    </border>
    <border>
      <left/>
      <right style="thin">
        <color indexed="64"/>
      </right>
      <top/>
      <bottom/>
      <diagonal/>
    </border>
    <border>
      <left/>
      <right style="thin">
        <color indexed="64"/>
      </right>
      <top style="hair">
        <color auto="1"/>
      </top>
      <bottom/>
      <diagonal/>
    </border>
    <border>
      <left/>
      <right style="thin">
        <color indexed="64"/>
      </right>
      <top/>
      <bottom style="hair">
        <color auto="1"/>
      </bottom>
      <diagonal/>
    </border>
    <border>
      <left style="thin">
        <color indexed="64"/>
      </left>
      <right style="hair">
        <color indexed="64"/>
      </right>
      <top style="hair">
        <color auto="1"/>
      </top>
      <bottom style="hair">
        <color auto="1"/>
      </bottom>
      <diagonal/>
    </border>
    <border>
      <left style="hair">
        <color indexed="64"/>
      </left>
      <right style="thin">
        <color indexed="64"/>
      </right>
      <top style="hair">
        <color auto="1"/>
      </top>
      <bottom style="hair">
        <color indexed="64"/>
      </bottom>
      <diagonal/>
    </border>
    <border>
      <left style="thin">
        <color indexed="64"/>
      </left>
      <right style="hair">
        <color indexed="64"/>
      </right>
      <top/>
      <bottom style="hair">
        <color auto="1"/>
      </bottom>
      <diagonal/>
    </border>
    <border>
      <left style="hair">
        <color indexed="64"/>
      </left>
      <right style="thin">
        <color indexed="64"/>
      </right>
      <top style="hair">
        <color indexed="64"/>
      </top>
      <bottom/>
      <diagonal/>
    </border>
    <border>
      <left style="hair">
        <color indexed="64"/>
      </left>
      <right style="thin">
        <color indexed="64"/>
      </right>
      <top/>
      <bottom style="hair">
        <color indexed="64"/>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top" wrapText="1"/>
    </xf>
    <xf numFmtId="0" fontId="0" fillId="0" borderId="0" xfId="0" applyAlignment="1">
      <alignment horizontal="center" vertical="center"/>
    </xf>
    <xf numFmtId="0" fontId="1" fillId="0" borderId="0" xfId="0" applyFont="1" applyAlignment="1">
      <alignment horizontal="center"/>
    </xf>
    <xf numFmtId="0" fontId="0" fillId="0" borderId="5" xfId="0" applyBorder="1" applyAlignment="1">
      <alignment horizontal="left" vertical="top" wrapText="1"/>
    </xf>
    <xf numFmtId="0" fontId="0" fillId="0" borderId="7" xfId="0" applyBorder="1" applyAlignment="1">
      <alignment horizontal="left" vertical="top" wrapText="1"/>
    </xf>
    <xf numFmtId="0" fontId="0" fillId="5" borderId="9" xfId="0" applyFill="1" applyBorder="1" applyAlignment="1">
      <alignment horizontal="center" vertical="center"/>
    </xf>
    <xf numFmtId="0" fontId="2" fillId="0" borderId="9" xfId="0" applyFont="1" applyBorder="1" applyAlignment="1">
      <alignment horizontal="left" vertical="top" wrapText="1"/>
    </xf>
    <xf numFmtId="0" fontId="0" fillId="5" borderId="10" xfId="0" applyFill="1" applyBorder="1" applyAlignment="1">
      <alignment horizontal="center" vertical="center"/>
    </xf>
    <xf numFmtId="0" fontId="2" fillId="0" borderId="10" xfId="0" applyFont="1" applyBorder="1" applyAlignment="1">
      <alignment horizontal="left" vertical="top" wrapText="1"/>
    </xf>
    <xf numFmtId="0" fontId="0" fillId="5" borderId="11" xfId="0" applyFill="1" applyBorder="1" applyAlignment="1">
      <alignment horizontal="center" vertical="center"/>
    </xf>
    <xf numFmtId="0" fontId="2" fillId="0" borderId="11" xfId="0" applyFont="1" applyBorder="1" applyAlignment="1">
      <alignment horizontal="left" vertical="top" wrapText="1"/>
    </xf>
    <xf numFmtId="14" fontId="0" fillId="0" borderId="5" xfId="0" applyNumberFormat="1" applyBorder="1" applyAlignment="1">
      <alignment horizontal="left" vertical="top" wrapText="1"/>
    </xf>
    <xf numFmtId="0" fontId="1" fillId="4" borderId="4" xfId="0" applyFont="1" applyFill="1" applyBorder="1" applyAlignment="1">
      <alignment horizontal="left" vertical="center"/>
    </xf>
    <xf numFmtId="0" fontId="1" fillId="4" borderId="6" xfId="0" applyFont="1" applyFill="1" applyBorder="1" applyAlignment="1">
      <alignment horizontal="left" vertical="center"/>
    </xf>
    <xf numFmtId="0" fontId="0" fillId="0" borderId="1" xfId="0" applyBorder="1" applyAlignment="1">
      <alignment horizontal="left" vertical="top" wrapText="1"/>
    </xf>
    <xf numFmtId="0" fontId="1" fillId="3" borderId="2" xfId="0" applyFont="1" applyFill="1" applyBorder="1" applyAlignment="1">
      <alignment horizontal="center"/>
    </xf>
    <xf numFmtId="0" fontId="1" fillId="3" borderId="3" xfId="0" applyFont="1" applyFill="1" applyBorder="1" applyAlignment="1">
      <alignment horizontal="center"/>
    </xf>
    <xf numFmtId="0" fontId="0" fillId="0" borderId="0" xfId="0"/>
    <xf numFmtId="0" fontId="0" fillId="0" borderId="5" xfId="0" applyBorder="1" applyAlignment="1">
      <alignment horizontal="left" vertical="top" wrapText="1"/>
    </xf>
    <xf numFmtId="0" fontId="0" fillId="0" borderId="7" xfId="0" applyBorder="1" applyAlignment="1">
      <alignment horizontal="left" vertical="top" wrapText="1"/>
    </xf>
    <xf numFmtId="14" fontId="0" fillId="0" borderId="5" xfId="0" applyNumberFormat="1" applyBorder="1" applyAlignment="1">
      <alignment horizontal="left" vertical="top" wrapText="1"/>
    </xf>
    <xf numFmtId="0" fontId="1" fillId="4" borderId="4" xfId="0" applyFont="1" applyFill="1" applyBorder="1" applyAlignment="1">
      <alignment horizontal="left" vertical="center"/>
    </xf>
    <xf numFmtId="0" fontId="1" fillId="4" borderId="6" xfId="0" applyFont="1" applyFill="1" applyBorder="1" applyAlignment="1">
      <alignment horizontal="left" vertical="center"/>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1" fillId="4" borderId="15" xfId="0" applyFont="1" applyFill="1" applyBorder="1" applyAlignment="1">
      <alignment horizontal="left" vertical="center"/>
    </xf>
    <xf numFmtId="0" fontId="1" fillId="0" borderId="14" xfId="0" applyFont="1" applyBorder="1" applyAlignment="1">
      <alignment horizontal="left" vertical="top" wrapText="1"/>
    </xf>
    <xf numFmtId="0" fontId="1" fillId="0" borderId="16" xfId="0" applyFont="1" applyBorder="1" applyAlignment="1">
      <alignment horizontal="left" vertical="top" wrapText="1"/>
    </xf>
    <xf numFmtId="0" fontId="0" fillId="0" borderId="14" xfId="0" applyBorder="1" applyAlignment="1">
      <alignment horizontal="left" vertical="top" wrapText="1"/>
    </xf>
    <xf numFmtId="0" fontId="0" fillId="0" borderId="16" xfId="0" applyBorder="1" applyAlignment="1">
      <alignment horizontal="left" vertical="top" wrapText="1"/>
    </xf>
    <xf numFmtId="0" fontId="1" fillId="4" borderId="17" xfId="0" applyFont="1" applyFill="1" applyBorder="1" applyAlignment="1">
      <alignment horizontal="lef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1" fillId="0" borderId="8" xfId="0" applyFont="1" applyBorder="1" applyAlignment="1">
      <alignment horizontal="center"/>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0" fillId="0" borderId="1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1425619</xdr:colOff>
      <xdr:row>19</xdr:row>
      <xdr:rowOff>80981</xdr:rowOff>
    </xdr:from>
    <xdr:to>
      <xdr:col>1</xdr:col>
      <xdr:colOff>7158313</xdr:colOff>
      <xdr:row>23</xdr:row>
      <xdr:rowOff>60957</xdr:rowOff>
    </xdr:to>
    <xdr:pic>
      <xdr:nvPicPr>
        <xdr:cNvPr id="3" name="Picture 2">
          <a:extLst>
            <a:ext uri="{FF2B5EF4-FFF2-40B4-BE49-F238E27FC236}">
              <a16:creationId xmlns:a16="http://schemas.microsoft.com/office/drawing/2014/main" id="{C46A9926-6C11-C87E-67CA-19048A9006C7}"/>
            </a:ext>
          </a:extLst>
        </xdr:cNvPr>
        <xdr:cNvPicPr>
          <a:picLocks noChangeAspect="1"/>
        </xdr:cNvPicPr>
      </xdr:nvPicPr>
      <xdr:blipFill>
        <a:blip xmlns:r="http://schemas.openxmlformats.org/officeDocument/2006/relationships" r:embed="rId1"/>
        <a:stretch>
          <a:fillRect/>
        </a:stretch>
      </xdr:blipFill>
      <xdr:spPr>
        <a:xfrm>
          <a:off x="1425619" y="11201654"/>
          <a:ext cx="7234060" cy="704253"/>
        </a:xfrm>
        <a:prstGeom prst="rect">
          <a:avLst/>
        </a:prstGeom>
      </xdr:spPr>
    </xdr:pic>
    <xdr:clientData/>
  </xdr:twoCellAnchor>
  <xdr:twoCellAnchor editAs="oneCell">
    <xdr:from>
      <xdr:col>0</xdr:col>
      <xdr:colOff>1447339</xdr:colOff>
      <xdr:row>45</xdr:row>
      <xdr:rowOff>38331</xdr:rowOff>
    </xdr:from>
    <xdr:to>
      <xdr:col>1</xdr:col>
      <xdr:colOff>7196514</xdr:colOff>
      <xdr:row>53</xdr:row>
      <xdr:rowOff>125917</xdr:rowOff>
    </xdr:to>
    <xdr:pic>
      <xdr:nvPicPr>
        <xdr:cNvPr id="4" name="Picture 3">
          <a:extLst>
            <a:ext uri="{FF2B5EF4-FFF2-40B4-BE49-F238E27FC236}">
              <a16:creationId xmlns:a16="http://schemas.microsoft.com/office/drawing/2014/main" id="{D75686EC-3878-1BD7-6581-723C5BC73447}"/>
            </a:ext>
          </a:extLst>
        </xdr:cNvPr>
        <xdr:cNvPicPr>
          <a:picLocks noChangeAspect="1"/>
        </xdr:cNvPicPr>
      </xdr:nvPicPr>
      <xdr:blipFill>
        <a:blip xmlns:r="http://schemas.openxmlformats.org/officeDocument/2006/relationships" r:embed="rId2"/>
        <a:stretch>
          <a:fillRect/>
        </a:stretch>
      </xdr:blipFill>
      <xdr:spPr>
        <a:xfrm>
          <a:off x="1447339" y="23868149"/>
          <a:ext cx="7250084" cy="1519223"/>
        </a:xfrm>
        <a:prstGeom prst="rect">
          <a:avLst/>
        </a:prstGeom>
      </xdr:spPr>
    </xdr:pic>
    <xdr:clientData/>
  </xdr:twoCellAnchor>
  <xdr:twoCellAnchor editAs="oneCell">
    <xdr:from>
      <xdr:col>1</xdr:col>
      <xdr:colOff>46182</xdr:colOff>
      <xdr:row>77</xdr:row>
      <xdr:rowOff>175162</xdr:rowOff>
    </xdr:from>
    <xdr:to>
      <xdr:col>1</xdr:col>
      <xdr:colOff>6471686</xdr:colOff>
      <xdr:row>84</xdr:row>
      <xdr:rowOff>7588</xdr:rowOff>
    </xdr:to>
    <xdr:pic>
      <xdr:nvPicPr>
        <xdr:cNvPr id="6" name="Imagen 1">
          <a:extLst>
            <a:ext uri="{FF2B5EF4-FFF2-40B4-BE49-F238E27FC236}">
              <a16:creationId xmlns:a16="http://schemas.microsoft.com/office/drawing/2014/main" id="{87C92E8A-A5BD-433D-A192-4A366F23EFDC}"/>
            </a:ext>
          </a:extLst>
        </xdr:cNvPr>
        <xdr:cNvPicPr>
          <a:picLocks noChangeAspect="1"/>
        </xdr:cNvPicPr>
      </xdr:nvPicPr>
      <xdr:blipFill>
        <a:blip xmlns:r="http://schemas.openxmlformats.org/officeDocument/2006/relationships" r:embed="rId3"/>
        <a:stretch>
          <a:fillRect/>
        </a:stretch>
      </xdr:blipFill>
      <xdr:spPr>
        <a:xfrm>
          <a:off x="1550390" y="37740772"/>
          <a:ext cx="6425504" cy="107933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0731C-D0DB-4DE4-A392-619F6EE630DA}">
  <dimension ref="A1:D5"/>
  <sheetViews>
    <sheetView showGridLines="0" workbookViewId="0">
      <selection activeCell="B3" sqref="B3"/>
    </sheetView>
  </sheetViews>
  <sheetFormatPr defaultColWidth="11.5546875" defaultRowHeight="14.4" x14ac:dyDescent="0.3"/>
  <cols>
    <col min="1" max="1" width="6.6640625" customWidth="1"/>
    <col min="2" max="2" width="113" customWidth="1"/>
    <col min="3" max="3" width="20.109375" customWidth="1"/>
    <col min="4" max="4" width="14.5546875" bestFit="1" customWidth="1"/>
  </cols>
  <sheetData>
    <row r="1" spans="1:4" x14ac:dyDescent="0.3">
      <c r="A1" s="1" t="s">
        <v>0</v>
      </c>
      <c r="B1" s="2" t="s">
        <v>1</v>
      </c>
      <c r="C1" s="2" t="s">
        <v>2</v>
      </c>
      <c r="D1" s="2" t="s">
        <v>3</v>
      </c>
    </row>
    <row r="2" spans="1:4" ht="73.95" customHeight="1" x14ac:dyDescent="0.3">
      <c r="A2" s="19" t="s">
        <v>26</v>
      </c>
      <c r="B2" s="19"/>
      <c r="C2" s="19"/>
      <c r="D2" s="3"/>
    </row>
    <row r="3" spans="1:4" ht="28.8" x14ac:dyDescent="0.3">
      <c r="A3" s="4">
        <v>1</v>
      </c>
      <c r="B3" s="5" t="s">
        <v>22</v>
      </c>
      <c r="C3" s="4">
        <v>50</v>
      </c>
      <c r="D3" s="4" t="s">
        <v>23</v>
      </c>
    </row>
    <row r="4" spans="1:4" x14ac:dyDescent="0.3">
      <c r="A4" s="4">
        <v>2</v>
      </c>
      <c r="B4" s="5" t="s">
        <v>25</v>
      </c>
      <c r="C4" s="4">
        <v>50</v>
      </c>
      <c r="D4" s="4" t="s">
        <v>24</v>
      </c>
    </row>
    <row r="5" spans="1:4" x14ac:dyDescent="0.3">
      <c r="A5" s="6"/>
      <c r="C5" s="7">
        <f>SUM(C3:C4)</f>
        <v>100</v>
      </c>
    </row>
  </sheetData>
  <mergeCells count="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4CE48-BF22-44FE-A92F-27C7CF408E2A}">
  <dimension ref="A1:B85"/>
  <sheetViews>
    <sheetView showGridLines="0" tabSelected="1" topLeftCell="A43" zoomScale="77" zoomScaleNormal="100" workbookViewId="0">
      <selection activeCell="B15" sqref="B15"/>
    </sheetView>
  </sheetViews>
  <sheetFormatPr defaultColWidth="11.5546875" defaultRowHeight="14.4" x14ac:dyDescent="0.3"/>
  <cols>
    <col min="1" max="1" width="21.88671875" bestFit="1" customWidth="1"/>
    <col min="2" max="2" width="105.33203125" customWidth="1"/>
  </cols>
  <sheetData>
    <row r="1" spans="1:2" x14ac:dyDescent="0.3">
      <c r="A1" s="20" t="s">
        <v>4</v>
      </c>
      <c r="B1" s="21"/>
    </row>
    <row r="2" spans="1:2" x14ac:dyDescent="0.3">
      <c r="A2" s="17" t="s">
        <v>5</v>
      </c>
      <c r="B2" s="8" t="s">
        <v>29</v>
      </c>
    </row>
    <row r="3" spans="1:2" x14ac:dyDescent="0.3">
      <c r="A3" s="17" t="s">
        <v>6</v>
      </c>
      <c r="B3" s="8" t="s">
        <v>40</v>
      </c>
    </row>
    <row r="4" spans="1:2" x14ac:dyDescent="0.3">
      <c r="A4" s="17" t="s">
        <v>7</v>
      </c>
      <c r="B4" s="16">
        <v>45760</v>
      </c>
    </row>
    <row r="5" spans="1:2" x14ac:dyDescent="0.3">
      <c r="A5" s="17" t="s">
        <v>8</v>
      </c>
      <c r="B5" s="23" t="s">
        <v>65</v>
      </c>
    </row>
    <row r="6" spans="1:2" x14ac:dyDescent="0.3">
      <c r="A6" s="17" t="s">
        <v>9</v>
      </c>
      <c r="B6" s="8" t="s">
        <v>52</v>
      </c>
    </row>
    <row r="7" spans="1:2" ht="28.8" x14ac:dyDescent="0.3">
      <c r="A7" s="17" t="s">
        <v>10</v>
      </c>
      <c r="B7" s="8" t="s">
        <v>42</v>
      </c>
    </row>
    <row r="8" spans="1:2" x14ac:dyDescent="0.3">
      <c r="A8" s="17" t="s">
        <v>11</v>
      </c>
      <c r="B8" s="8" t="s">
        <v>43</v>
      </c>
    </row>
    <row r="9" spans="1:2" x14ac:dyDescent="0.3">
      <c r="A9" s="17" t="s">
        <v>33</v>
      </c>
      <c r="B9" s="8" t="s">
        <v>47</v>
      </c>
    </row>
    <row r="10" spans="1:2" x14ac:dyDescent="0.3">
      <c r="A10" s="17"/>
      <c r="B10" s="8" t="s">
        <v>44</v>
      </c>
    </row>
    <row r="11" spans="1:2" x14ac:dyDescent="0.3">
      <c r="A11" s="17" t="s">
        <v>12</v>
      </c>
      <c r="B11" s="8" t="s">
        <v>36</v>
      </c>
    </row>
    <row r="12" spans="1:2" ht="57.6" x14ac:dyDescent="0.3">
      <c r="A12" s="17"/>
      <c r="B12" s="8" t="s">
        <v>53</v>
      </c>
    </row>
    <row r="13" spans="1:2" x14ac:dyDescent="0.3">
      <c r="A13" s="17"/>
      <c r="B13" s="8" t="s">
        <v>37</v>
      </c>
    </row>
    <row r="14" spans="1:2" x14ac:dyDescent="0.3">
      <c r="A14" s="34"/>
      <c r="B14" s="40" t="s">
        <v>38</v>
      </c>
    </row>
    <row r="15" spans="1:2" ht="72" x14ac:dyDescent="0.3">
      <c r="A15" s="34" t="s">
        <v>13</v>
      </c>
      <c r="B15" s="38" t="s">
        <v>59</v>
      </c>
    </row>
    <row r="16" spans="1:2" ht="374.4" x14ac:dyDescent="0.3">
      <c r="A16" s="39"/>
      <c r="B16" s="36" t="s">
        <v>56</v>
      </c>
    </row>
    <row r="17" spans="1:2" ht="72" x14ac:dyDescent="0.3">
      <c r="A17" s="34"/>
      <c r="B17" s="41" t="s">
        <v>57</v>
      </c>
    </row>
    <row r="18" spans="1:2" ht="86.4" x14ac:dyDescent="0.3">
      <c r="A18" s="34"/>
      <c r="B18" s="36" t="s">
        <v>58</v>
      </c>
    </row>
    <row r="19" spans="1:2" x14ac:dyDescent="0.3">
      <c r="A19" s="34" t="s">
        <v>14</v>
      </c>
      <c r="B19" s="38" t="s">
        <v>54</v>
      </c>
    </row>
    <row r="20" spans="1:2" x14ac:dyDescent="0.3">
      <c r="A20" s="17"/>
      <c r="B20" s="37"/>
    </row>
    <row r="21" spans="1:2" x14ac:dyDescent="0.3">
      <c r="A21" s="17"/>
      <c r="B21" s="8"/>
    </row>
    <row r="22" spans="1:2" x14ac:dyDescent="0.3">
      <c r="A22" s="17"/>
      <c r="B22" s="8"/>
    </row>
    <row r="23" spans="1:2" x14ac:dyDescent="0.3">
      <c r="A23" s="17"/>
      <c r="B23" s="8"/>
    </row>
    <row r="24" spans="1:2" x14ac:dyDescent="0.3">
      <c r="A24" s="17"/>
      <c r="B24" s="8"/>
    </row>
    <row r="25" spans="1:2" x14ac:dyDescent="0.3">
      <c r="A25" s="18" t="s">
        <v>15</v>
      </c>
      <c r="B25" s="9" t="s">
        <v>55</v>
      </c>
    </row>
    <row r="27" spans="1:2" x14ac:dyDescent="0.3">
      <c r="A27" s="20" t="s">
        <v>27</v>
      </c>
      <c r="B27" s="21"/>
    </row>
    <row r="28" spans="1:2" x14ac:dyDescent="0.3">
      <c r="A28" s="17" t="s">
        <v>5</v>
      </c>
      <c r="B28" s="8" t="s">
        <v>39</v>
      </c>
    </row>
    <row r="29" spans="1:2" x14ac:dyDescent="0.3">
      <c r="A29" s="17" t="s">
        <v>6</v>
      </c>
      <c r="B29" s="8" t="s">
        <v>30</v>
      </c>
    </row>
    <row r="30" spans="1:2" x14ac:dyDescent="0.3">
      <c r="A30" s="17" t="s">
        <v>7</v>
      </c>
      <c r="B30" s="16">
        <v>45760</v>
      </c>
    </row>
    <row r="31" spans="1:2" x14ac:dyDescent="0.3">
      <c r="A31" s="17" t="s">
        <v>8</v>
      </c>
      <c r="B31" s="23" t="s">
        <v>65</v>
      </c>
    </row>
    <row r="32" spans="1:2" x14ac:dyDescent="0.3">
      <c r="A32" s="17" t="s">
        <v>9</v>
      </c>
      <c r="B32" s="8" t="s">
        <v>52</v>
      </c>
    </row>
    <row r="33" spans="1:2" ht="28.8" x14ac:dyDescent="0.3">
      <c r="A33" s="17" t="s">
        <v>10</v>
      </c>
      <c r="B33" s="8" t="s">
        <v>31</v>
      </c>
    </row>
    <row r="34" spans="1:2" ht="28.8" x14ac:dyDescent="0.3">
      <c r="A34" s="17" t="s">
        <v>11</v>
      </c>
      <c r="B34" s="8" t="s">
        <v>32</v>
      </c>
    </row>
    <row r="35" spans="1:2" x14ac:dyDescent="0.3">
      <c r="A35" s="17" t="s">
        <v>33</v>
      </c>
      <c r="B35" s="8" t="s">
        <v>34</v>
      </c>
    </row>
    <row r="36" spans="1:2" x14ac:dyDescent="0.3">
      <c r="A36" s="17"/>
      <c r="B36" s="8" t="s">
        <v>35</v>
      </c>
    </row>
    <row r="37" spans="1:2" x14ac:dyDescent="0.3">
      <c r="A37" s="17" t="s">
        <v>12</v>
      </c>
      <c r="B37" s="8" t="s">
        <v>36</v>
      </c>
    </row>
    <row r="38" spans="1:2" ht="57.6" x14ac:dyDescent="0.3">
      <c r="A38" s="17"/>
      <c r="B38" s="8" t="s">
        <v>51</v>
      </c>
    </row>
    <row r="39" spans="1:2" x14ac:dyDescent="0.3">
      <c r="A39" s="17"/>
      <c r="B39" s="8" t="s">
        <v>37</v>
      </c>
    </row>
    <row r="40" spans="1:2" x14ac:dyDescent="0.3">
      <c r="A40" s="17"/>
      <c r="B40" s="23" t="s">
        <v>38</v>
      </c>
    </row>
    <row r="41" spans="1:2" ht="72" x14ac:dyDescent="0.3">
      <c r="A41" s="26" t="s">
        <v>13</v>
      </c>
      <c r="B41" s="38" t="s">
        <v>62</v>
      </c>
    </row>
    <row r="42" spans="1:2" ht="374.4" x14ac:dyDescent="0.3">
      <c r="A42" s="17"/>
      <c r="B42" s="36" t="s">
        <v>60</v>
      </c>
    </row>
    <row r="43" spans="1:2" ht="72" x14ac:dyDescent="0.3">
      <c r="A43" s="34"/>
      <c r="B43" s="23" t="s">
        <v>63</v>
      </c>
    </row>
    <row r="44" spans="1:2" ht="86.4" x14ac:dyDescent="0.3">
      <c r="A44" s="34"/>
      <c r="B44" s="36" t="s">
        <v>64</v>
      </c>
    </row>
    <row r="45" spans="1:2" x14ac:dyDescent="0.3">
      <c r="A45" s="26" t="s">
        <v>14</v>
      </c>
      <c r="B45" s="35" t="s">
        <v>61</v>
      </c>
    </row>
    <row r="46" spans="1:2" s="22" customFormat="1" ht="12.6" customHeight="1" x14ac:dyDescent="0.3">
      <c r="A46" s="26"/>
      <c r="B46" s="23"/>
    </row>
    <row r="47" spans="1:2" s="22" customFormat="1" x14ac:dyDescent="0.3">
      <c r="A47" s="26"/>
      <c r="B47" s="23"/>
    </row>
    <row r="48" spans="1:2" s="22" customFormat="1" x14ac:dyDescent="0.3">
      <c r="A48" s="26"/>
      <c r="B48" s="23"/>
    </row>
    <row r="49" spans="1:2" s="22" customFormat="1" x14ac:dyDescent="0.3">
      <c r="A49" s="26"/>
      <c r="B49" s="23"/>
    </row>
    <row r="50" spans="1:2" s="22" customFormat="1" x14ac:dyDescent="0.3">
      <c r="A50" s="26"/>
      <c r="B50" s="23"/>
    </row>
    <row r="51" spans="1:2" ht="12.6" customHeight="1" x14ac:dyDescent="0.3">
      <c r="A51" s="17"/>
      <c r="B51" s="8"/>
    </row>
    <row r="52" spans="1:2" x14ac:dyDescent="0.3">
      <c r="A52" s="17"/>
      <c r="B52" s="8"/>
    </row>
    <row r="53" spans="1:2" s="22" customFormat="1" x14ac:dyDescent="0.3">
      <c r="A53" s="26"/>
      <c r="B53" s="23"/>
    </row>
    <row r="54" spans="1:2" x14ac:dyDescent="0.3">
      <c r="A54" s="17"/>
      <c r="B54" s="8"/>
    </row>
    <row r="55" spans="1:2" x14ac:dyDescent="0.3">
      <c r="A55" s="18" t="s">
        <v>15</v>
      </c>
      <c r="B55" s="9" t="s">
        <v>79</v>
      </c>
    </row>
    <row r="57" spans="1:2" x14ac:dyDescent="0.3">
      <c r="A57" s="20" t="s">
        <v>28</v>
      </c>
      <c r="B57" s="21"/>
    </row>
    <row r="58" spans="1:2" x14ac:dyDescent="0.3">
      <c r="A58" s="17" t="s">
        <v>5</v>
      </c>
      <c r="B58" s="23" t="s">
        <v>41</v>
      </c>
    </row>
    <row r="59" spans="1:2" x14ac:dyDescent="0.3">
      <c r="A59" s="17" t="s">
        <v>6</v>
      </c>
      <c r="B59" s="23" t="s">
        <v>45</v>
      </c>
    </row>
    <row r="60" spans="1:2" x14ac:dyDescent="0.3">
      <c r="A60" s="17" t="s">
        <v>7</v>
      </c>
      <c r="B60" s="25">
        <v>45760</v>
      </c>
    </row>
    <row r="61" spans="1:2" x14ac:dyDescent="0.3">
      <c r="A61" s="17" t="s">
        <v>8</v>
      </c>
      <c r="B61" s="23" t="s">
        <v>65</v>
      </c>
    </row>
    <row r="62" spans="1:2" x14ac:dyDescent="0.3">
      <c r="A62" s="17" t="s">
        <v>9</v>
      </c>
      <c r="B62" s="23" t="s">
        <v>52</v>
      </c>
    </row>
    <row r="63" spans="1:2" ht="43.2" x14ac:dyDescent="0.3">
      <c r="A63" s="17" t="s">
        <v>10</v>
      </c>
      <c r="B63" s="23" t="s">
        <v>66</v>
      </c>
    </row>
    <row r="64" spans="1:2" ht="14.4" customHeight="1" x14ac:dyDescent="0.3">
      <c r="A64" s="17" t="s">
        <v>11</v>
      </c>
      <c r="B64" s="23" t="s">
        <v>46</v>
      </c>
    </row>
    <row r="65" spans="1:2" x14ac:dyDescent="0.3">
      <c r="A65" s="17" t="s">
        <v>33</v>
      </c>
      <c r="B65" s="28" t="s">
        <v>48</v>
      </c>
    </row>
    <row r="66" spans="1:2" x14ac:dyDescent="0.3">
      <c r="A66" s="17"/>
      <c r="B66" s="23" t="s">
        <v>49</v>
      </c>
    </row>
    <row r="67" spans="1:2" x14ac:dyDescent="0.3">
      <c r="A67" s="17" t="s">
        <v>12</v>
      </c>
      <c r="B67" s="23" t="s">
        <v>36</v>
      </c>
    </row>
    <row r="68" spans="1:2" ht="46.2" customHeight="1" x14ac:dyDescent="0.3">
      <c r="A68" s="17"/>
      <c r="B68" s="23" t="s">
        <v>50</v>
      </c>
    </row>
    <row r="69" spans="1:2" x14ac:dyDescent="0.3">
      <c r="A69" s="17"/>
      <c r="B69" s="23" t="s">
        <v>37</v>
      </c>
    </row>
    <row r="70" spans="1:2" s="22" customFormat="1" x14ac:dyDescent="0.3">
      <c r="A70" s="26"/>
      <c r="B70" s="23" t="s">
        <v>38</v>
      </c>
    </row>
    <row r="71" spans="1:2" x14ac:dyDescent="0.3">
      <c r="A71" s="17"/>
      <c r="B71" s="23" t="s">
        <v>73</v>
      </c>
    </row>
    <row r="72" spans="1:2" ht="43.2" x14ac:dyDescent="0.3">
      <c r="A72" s="17"/>
      <c r="B72" s="23" t="s">
        <v>67</v>
      </c>
    </row>
    <row r="73" spans="1:2" ht="201.6" x14ac:dyDescent="0.3">
      <c r="A73" s="17"/>
      <c r="B73" s="23" t="s">
        <v>74</v>
      </c>
    </row>
    <row r="74" spans="1:2" ht="115.2" x14ac:dyDescent="0.3">
      <c r="A74" s="17" t="s">
        <v>13</v>
      </c>
      <c r="B74" s="23" t="s">
        <v>68</v>
      </c>
    </row>
    <row r="75" spans="1:2" ht="115.2" x14ac:dyDescent="0.3">
      <c r="A75" s="17"/>
      <c r="B75" s="23" t="s">
        <v>69</v>
      </c>
    </row>
    <row r="76" spans="1:2" ht="115.2" x14ac:dyDescent="0.3">
      <c r="A76" s="17"/>
      <c r="B76" s="29" t="s">
        <v>70</v>
      </c>
    </row>
    <row r="77" spans="1:2" ht="86.4" x14ac:dyDescent="0.3">
      <c r="A77" s="17"/>
      <c r="B77" s="30" t="s">
        <v>71</v>
      </c>
    </row>
    <row r="78" spans="1:2" x14ac:dyDescent="0.3">
      <c r="A78" s="17" t="s">
        <v>14</v>
      </c>
      <c r="B78" s="23" t="s">
        <v>72</v>
      </c>
    </row>
    <row r="79" spans="1:2" x14ac:dyDescent="0.3">
      <c r="A79" s="17"/>
      <c r="B79" s="23"/>
    </row>
    <row r="80" spans="1:2" x14ac:dyDescent="0.3">
      <c r="A80" s="17"/>
      <c r="B80" s="23"/>
    </row>
    <row r="81" spans="1:2" x14ac:dyDescent="0.3">
      <c r="A81" s="17"/>
      <c r="B81" s="23"/>
    </row>
    <row r="82" spans="1:2" x14ac:dyDescent="0.3">
      <c r="A82" s="26"/>
      <c r="B82" s="23"/>
    </row>
    <row r="83" spans="1:2" x14ac:dyDescent="0.3">
      <c r="A83" s="26"/>
      <c r="B83" s="23"/>
    </row>
    <row r="84" spans="1:2" x14ac:dyDescent="0.3">
      <c r="A84" s="26"/>
      <c r="B84" s="23"/>
    </row>
    <row r="85" spans="1:2" x14ac:dyDescent="0.3">
      <c r="A85" s="27" t="s">
        <v>15</v>
      </c>
      <c r="B85" s="24" t="s">
        <v>80</v>
      </c>
    </row>
  </sheetData>
  <mergeCells count="3">
    <mergeCell ref="A1:B1"/>
    <mergeCell ref="A27:B27"/>
    <mergeCell ref="A57:B5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8CBD6-C894-4420-AC3D-6B76026DE80A}">
  <dimension ref="A1:B20"/>
  <sheetViews>
    <sheetView showGridLines="0" workbookViewId="0">
      <selection activeCell="D19" sqref="D19"/>
    </sheetView>
  </sheetViews>
  <sheetFormatPr defaultColWidth="11.5546875" defaultRowHeight="14.4" x14ac:dyDescent="0.3"/>
  <cols>
    <col min="1" max="1" width="12.88671875" customWidth="1"/>
    <col min="2" max="2" width="88.44140625" customWidth="1"/>
  </cols>
  <sheetData>
    <row r="1" spans="1:2" ht="15" thickBot="1" x14ac:dyDescent="0.35">
      <c r="A1" s="42" t="s">
        <v>55</v>
      </c>
      <c r="B1" s="42"/>
    </row>
    <row r="2" spans="1:2" ht="57.6" x14ac:dyDescent="0.3">
      <c r="A2" s="10" t="s">
        <v>16</v>
      </c>
      <c r="B2" s="43" t="s">
        <v>82</v>
      </c>
    </row>
    <row r="3" spans="1:2" ht="72" x14ac:dyDescent="0.3">
      <c r="A3" s="12" t="s">
        <v>18</v>
      </c>
      <c r="B3" s="32" t="s">
        <v>83</v>
      </c>
    </row>
    <row r="4" spans="1:2" ht="86.4" x14ac:dyDescent="0.3">
      <c r="A4" s="12" t="s">
        <v>19</v>
      </c>
      <c r="B4" s="32" t="s">
        <v>84</v>
      </c>
    </row>
    <row r="5" spans="1:2" ht="33.6" customHeight="1" x14ac:dyDescent="0.3">
      <c r="A5" s="12" t="s">
        <v>20</v>
      </c>
      <c r="B5" s="44" t="s">
        <v>85</v>
      </c>
    </row>
    <row r="6" spans="1:2" ht="101.4" thickBot="1" x14ac:dyDescent="0.35">
      <c r="A6" s="14" t="s">
        <v>21</v>
      </c>
      <c r="B6" s="45" t="s">
        <v>86</v>
      </c>
    </row>
    <row r="7" spans="1:2" ht="15" thickBot="1" x14ac:dyDescent="0.35"/>
    <row r="8" spans="1:2" ht="15" thickBot="1" x14ac:dyDescent="0.35">
      <c r="A8" s="42" t="s">
        <v>79</v>
      </c>
      <c r="B8" s="42"/>
    </row>
    <row r="9" spans="1:2" x14ac:dyDescent="0.3">
      <c r="A9" s="10" t="s">
        <v>16</v>
      </c>
      <c r="B9" s="11" t="s">
        <v>17</v>
      </c>
    </row>
    <row r="10" spans="1:2" x14ac:dyDescent="0.3">
      <c r="A10" s="12" t="s">
        <v>18</v>
      </c>
      <c r="B10" s="13" t="s">
        <v>17</v>
      </c>
    </row>
    <row r="11" spans="1:2" x14ac:dyDescent="0.3">
      <c r="A11" s="12" t="s">
        <v>19</v>
      </c>
      <c r="B11" s="13" t="s">
        <v>17</v>
      </c>
    </row>
    <row r="12" spans="1:2" x14ac:dyDescent="0.3">
      <c r="A12" s="12" t="s">
        <v>20</v>
      </c>
      <c r="B12" s="13" t="s">
        <v>17</v>
      </c>
    </row>
    <row r="13" spans="1:2" ht="15" thickBot="1" x14ac:dyDescent="0.35">
      <c r="A13" s="14" t="s">
        <v>21</v>
      </c>
      <c r="B13" s="15" t="s">
        <v>17</v>
      </c>
    </row>
    <row r="14" spans="1:2" ht="15" thickBot="1" x14ac:dyDescent="0.35"/>
    <row r="15" spans="1:2" ht="15" thickBot="1" x14ac:dyDescent="0.35">
      <c r="A15" s="42" t="s">
        <v>80</v>
      </c>
      <c r="B15" s="42"/>
    </row>
    <row r="16" spans="1:2" ht="115.2" x14ac:dyDescent="0.3">
      <c r="A16" s="10" t="s">
        <v>16</v>
      </c>
      <c r="B16" s="31" t="s">
        <v>81</v>
      </c>
    </row>
    <row r="17" spans="1:2" ht="115.2" x14ac:dyDescent="0.3">
      <c r="A17" s="12" t="s">
        <v>18</v>
      </c>
      <c r="B17" s="32" t="s">
        <v>75</v>
      </c>
    </row>
    <row r="18" spans="1:2" ht="100.8" x14ac:dyDescent="0.3">
      <c r="A18" s="12" t="s">
        <v>19</v>
      </c>
      <c r="B18" s="32" t="s">
        <v>76</v>
      </c>
    </row>
    <row r="19" spans="1:2" ht="115.2" x14ac:dyDescent="0.3">
      <c r="A19" s="12" t="s">
        <v>20</v>
      </c>
      <c r="B19" s="32" t="s">
        <v>77</v>
      </c>
    </row>
    <row r="20" spans="1:2" ht="144.6" thickBot="1" x14ac:dyDescent="0.35">
      <c r="A20" s="14" t="s">
        <v>21</v>
      </c>
      <c r="B20" s="33" t="s">
        <v>78</v>
      </c>
    </row>
  </sheetData>
  <mergeCells count="3">
    <mergeCell ref="A1:B1"/>
    <mergeCell ref="A8:B8"/>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Instrucciones</vt:lpstr>
      <vt:lpstr>Papel de Trabajo</vt:lpstr>
      <vt:lpstr>Hallazgo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Enrique Zamora Arce</dc:creator>
  <cp:lastModifiedBy>Pamela Murillo</cp:lastModifiedBy>
  <dcterms:created xsi:type="dcterms:W3CDTF">2023-07-31T23:38:57Z</dcterms:created>
  <dcterms:modified xsi:type="dcterms:W3CDTF">2025-04-14T01:52:43Z</dcterms:modified>
</cp:coreProperties>
</file>